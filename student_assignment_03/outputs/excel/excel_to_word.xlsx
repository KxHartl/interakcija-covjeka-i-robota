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ruenas-kresimir-share-cp\FSB\semestar_09\interakcija-covjeka-i-robota\interakcija-covjeka-i-robota\student_assignment_03\outputs\excel\"/>
    </mc:Choice>
  </mc:AlternateContent>
  <xr:revisionPtr revIDLastSave="0" documentId="13_ncr:1_{33B70C03-32FD-417A-BDD2-2101E81EB661}" xr6:coauthVersionLast="47" xr6:coauthVersionMax="47" xr10:uidLastSave="{00000000-0000-0000-0000-000000000000}"/>
  <bookViews>
    <workbookView xWindow="-120" yWindow="-120" windowWidth="29040" windowHeight="15720" xr2:uid="{7C6AB4B3-0BDA-4F60-8756-2F5BEB28C5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" l="1"/>
  <c r="M13" i="1"/>
  <c r="L14" i="1"/>
  <c r="M14" i="1"/>
  <c r="L15" i="1"/>
  <c r="M15" i="1"/>
  <c r="L16" i="1"/>
  <c r="M16" i="1"/>
  <c r="M12" i="1"/>
  <c r="L12" i="1"/>
  <c r="K13" i="1"/>
  <c r="K14" i="1"/>
  <c r="K15" i="1"/>
  <c r="K16" i="1"/>
  <c r="K12" i="1"/>
  <c r="N5" i="1"/>
  <c r="N6" i="1"/>
  <c r="N7" i="1"/>
  <c r="N8" i="1"/>
  <c r="N4" i="1"/>
  <c r="M5" i="1"/>
  <c r="M6" i="1"/>
  <c r="M7" i="1"/>
  <c r="M8" i="1"/>
  <c r="M4" i="1"/>
  <c r="L5" i="1"/>
  <c r="L6" i="1"/>
  <c r="L7" i="1"/>
  <c r="L8" i="1"/>
  <c r="L4" i="1"/>
  <c r="K5" i="1"/>
  <c r="K6" i="1"/>
  <c r="K7" i="1"/>
  <c r="K8" i="1"/>
  <c r="K4" i="1"/>
</calcChain>
</file>

<file path=xl/sharedStrings.xml><?xml version="1.0" encoding="utf-8"?>
<sst xmlns="http://schemas.openxmlformats.org/spreadsheetml/2006/main" count="27" uniqueCount="20">
  <si>
    <t>ID Slike</t>
  </si>
  <si>
    <t>000001.jpg</t>
  </si>
  <si>
    <t>000005.jpg</t>
  </si>
  <si>
    <t>000010.jpg</t>
  </si>
  <si>
    <t>000015.jpg</t>
  </si>
  <si>
    <t>000020.jpg</t>
  </si>
  <si>
    <t>Greška (px)</t>
  </si>
  <si>
    <t>body_pose_estimation_01</t>
  </si>
  <si>
    <t>GT X (px)</t>
  </si>
  <si>
    <t>GT Y  (px)</t>
  </si>
  <si>
    <t>MP X (px)</t>
  </si>
  <si>
    <t>MP Y (px)</t>
  </si>
  <si>
    <t>ΔX (px)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</si>
  <si>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Aptos Narrow"/>
        <family val="2"/>
        <scheme val="minor"/>
      </rPr>
      <t>Y (px)</t>
    </r>
  </si>
  <si>
    <t>Ground truth (x, y)</t>
  </si>
  <si>
    <t>MediaPipe (x, y)</t>
  </si>
  <si>
    <t>Razlika</t>
  </si>
  <si>
    <t>body_pose_estimation_02</t>
  </si>
  <si>
    <r>
      <t>Lakat (</t>
    </r>
    <r>
      <rPr>
        <sz val="11"/>
        <color theme="1"/>
        <rFont val="Aptos Narrow"/>
        <family val="2"/>
      </rPr>
      <t>°</t>
    </r>
    <r>
      <rPr>
        <sz val="11"/>
        <color theme="1"/>
        <rFont val="Aptos Narrow"/>
        <family val="2"/>
        <scheme val="minor"/>
      </rPr>
      <t>)</t>
    </r>
  </si>
  <si>
    <t>Koljeno (°)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</si>
</sst>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9F1B7-95EF-4908-A524-EC826786FE6E}">
  <dimension ref="A1:N16"/>
  <sheetViews>
    <sheetView tabSelected="1" workbookViewId="0">
      <selection activeCell="T22" sqref="T22"/>
    </sheetView>
  </sheetViews>
  <sheetFormatPr defaultRowHeight="15" x14ac:dyDescent="0.25"/>
  <cols>
    <col min="1" max="1" width="10.28515625" bestFit="1" customWidth="1"/>
    <col min="2" max="2" width="8.7109375" bestFit="1" customWidth="1"/>
    <col min="3" max="3" width="9" bestFit="1" customWidth="1"/>
    <col min="4" max="4" width="9.140625" bestFit="1" customWidth="1"/>
    <col min="5" max="5" width="9" bestFit="1" customWidth="1"/>
    <col min="6" max="6" width="7.140625" bestFit="1" customWidth="1"/>
    <col min="7" max="7" width="7" bestFit="1" customWidth="1"/>
    <col min="8" max="8" width="11.85546875" bestFit="1" customWidth="1"/>
    <col min="11" max="11" width="10.28515625" bestFit="1" customWidth="1"/>
    <col min="12" max="12" width="16.85546875" bestFit="1" customWidth="1"/>
    <col min="13" max="13" width="15" bestFit="1" customWidth="1"/>
    <col min="14" max="14" width="12.42578125" bestFit="1" customWidth="1"/>
  </cols>
  <sheetData>
    <row r="1" spans="1:14" x14ac:dyDescent="0.25">
      <c r="A1" t="s">
        <v>7</v>
      </c>
    </row>
    <row r="3" spans="1:14" x14ac:dyDescent="0.25">
      <c r="A3" t="s">
        <v>0</v>
      </c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6</v>
      </c>
      <c r="K3" t="s">
        <v>0</v>
      </c>
      <c r="L3" t="s">
        <v>14</v>
      </c>
      <c r="M3" t="s">
        <v>15</v>
      </c>
      <c r="N3" t="s">
        <v>16</v>
      </c>
    </row>
    <row r="4" spans="1:14" x14ac:dyDescent="0.25">
      <c r="A4" t="s">
        <v>1</v>
      </c>
      <c r="B4">
        <v>243</v>
      </c>
      <c r="C4">
        <v>122</v>
      </c>
      <c r="D4">
        <v>216</v>
      </c>
      <c r="E4">
        <v>76</v>
      </c>
      <c r="F4">
        <v>-27</v>
      </c>
      <c r="G4">
        <v>-46</v>
      </c>
      <c r="H4">
        <v>53.34</v>
      </c>
      <c r="K4" t="str">
        <f>LEFT(A4, LEN(A4)-4)</f>
        <v>000001</v>
      </c>
      <c r="L4" t="str">
        <f>B4&amp;", "&amp;C4</f>
        <v>243, 122</v>
      </c>
      <c r="M4" t="str">
        <f>D4&amp;", "&amp;E4</f>
        <v>216, 76</v>
      </c>
      <c r="N4">
        <f>H4</f>
        <v>53.34</v>
      </c>
    </row>
    <row r="5" spans="1:14" x14ac:dyDescent="0.25">
      <c r="A5" t="s">
        <v>2</v>
      </c>
      <c r="B5">
        <v>246</v>
      </c>
      <c r="C5">
        <v>119</v>
      </c>
      <c r="D5">
        <v>217</v>
      </c>
      <c r="E5">
        <v>64</v>
      </c>
      <c r="F5">
        <v>-29</v>
      </c>
      <c r="G5">
        <v>-55</v>
      </c>
      <c r="H5">
        <v>62.18</v>
      </c>
      <c r="K5" t="str">
        <f t="shared" ref="K5:K8" si="0">LEFT(A5, LEN(A5)-4)</f>
        <v>000005</v>
      </c>
      <c r="L5" t="str">
        <f t="shared" ref="L5:L8" si="1">B5&amp;", "&amp;C5</f>
        <v>246, 119</v>
      </c>
      <c r="M5" t="str">
        <f t="shared" ref="M5:M8" si="2">D5&amp;", "&amp;E5</f>
        <v>217, 64</v>
      </c>
      <c r="N5">
        <f t="shared" ref="N5:N8" si="3">H5</f>
        <v>62.18</v>
      </c>
    </row>
    <row r="6" spans="1:14" x14ac:dyDescent="0.25">
      <c r="A6" t="s">
        <v>3</v>
      </c>
      <c r="B6">
        <v>246</v>
      </c>
      <c r="C6">
        <v>115</v>
      </c>
      <c r="D6">
        <v>219</v>
      </c>
      <c r="E6">
        <v>48</v>
      </c>
      <c r="F6">
        <v>-27</v>
      </c>
      <c r="G6">
        <v>-67</v>
      </c>
      <c r="H6">
        <v>72.239999999999995</v>
      </c>
      <c r="K6" t="str">
        <f t="shared" si="0"/>
        <v>000010</v>
      </c>
      <c r="L6" t="str">
        <f t="shared" si="1"/>
        <v>246, 115</v>
      </c>
      <c r="M6" t="str">
        <f t="shared" si="2"/>
        <v>219, 48</v>
      </c>
      <c r="N6">
        <f t="shared" si="3"/>
        <v>72.239999999999995</v>
      </c>
    </row>
    <row r="7" spans="1:14" x14ac:dyDescent="0.25">
      <c r="A7" t="s">
        <v>4</v>
      </c>
      <c r="B7">
        <v>246</v>
      </c>
      <c r="C7">
        <v>111</v>
      </c>
      <c r="D7">
        <v>214</v>
      </c>
      <c r="E7">
        <v>76</v>
      </c>
      <c r="F7">
        <v>-32</v>
      </c>
      <c r="G7">
        <v>-35</v>
      </c>
      <c r="H7">
        <v>47.42</v>
      </c>
      <c r="K7" t="str">
        <f t="shared" si="0"/>
        <v>000015</v>
      </c>
      <c r="L7" t="str">
        <f t="shared" si="1"/>
        <v>246, 111</v>
      </c>
      <c r="M7" t="str">
        <f t="shared" si="2"/>
        <v>214, 76</v>
      </c>
      <c r="N7">
        <f t="shared" si="3"/>
        <v>47.42</v>
      </c>
    </row>
    <row r="8" spans="1:14" x14ac:dyDescent="0.25">
      <c r="A8" t="s">
        <v>5</v>
      </c>
      <c r="B8">
        <v>245</v>
      </c>
      <c r="C8">
        <v>105</v>
      </c>
      <c r="D8">
        <v>215</v>
      </c>
      <c r="E8">
        <v>72</v>
      </c>
      <c r="F8">
        <v>-30</v>
      </c>
      <c r="G8">
        <v>-33</v>
      </c>
      <c r="H8">
        <v>44.6</v>
      </c>
      <c r="K8" t="str">
        <f t="shared" si="0"/>
        <v>000020</v>
      </c>
      <c r="L8" t="str">
        <f t="shared" si="1"/>
        <v>245, 105</v>
      </c>
      <c r="M8" t="str">
        <f t="shared" si="2"/>
        <v>215, 72</v>
      </c>
      <c r="N8">
        <f t="shared" si="3"/>
        <v>44.6</v>
      </c>
    </row>
    <row r="10" spans="1:14" x14ac:dyDescent="0.25">
      <c r="A10" t="s">
        <v>17</v>
      </c>
    </row>
    <row r="11" spans="1:14" x14ac:dyDescent="0.25">
      <c r="A11" t="s">
        <v>1</v>
      </c>
      <c r="B11">
        <v>47.39</v>
      </c>
      <c r="C11">
        <v>171.14</v>
      </c>
      <c r="K11" t="s">
        <v>0</v>
      </c>
      <c r="L11" t="s">
        <v>18</v>
      </c>
      <c r="M11" t="s">
        <v>19</v>
      </c>
    </row>
    <row r="12" spans="1:14" x14ac:dyDescent="0.25">
      <c r="A12" t="s">
        <v>2</v>
      </c>
      <c r="B12">
        <v>46.42</v>
      </c>
      <c r="C12">
        <v>172.75</v>
      </c>
      <c r="K12" t="str">
        <f>LEFT(A11, LEN(A11)-4)</f>
        <v>000001</v>
      </c>
      <c r="L12">
        <f>B11</f>
        <v>47.39</v>
      </c>
      <c r="M12">
        <f>C11</f>
        <v>171.14</v>
      </c>
    </row>
    <row r="13" spans="1:14" x14ac:dyDescent="0.25">
      <c r="A13" t="s">
        <v>3</v>
      </c>
      <c r="B13">
        <v>41.47</v>
      </c>
      <c r="C13">
        <v>179.18</v>
      </c>
      <c r="K13" t="str">
        <f t="shared" ref="K13:K16" si="4">LEFT(A12, LEN(A12)-4)</f>
        <v>000005</v>
      </c>
      <c r="L13">
        <f t="shared" ref="L13:L16" si="5">B12</f>
        <v>46.42</v>
      </c>
      <c r="M13">
        <f t="shared" ref="M13:M16" si="6">C12</f>
        <v>172.75</v>
      </c>
    </row>
    <row r="14" spans="1:14" x14ac:dyDescent="0.25">
      <c r="A14" t="s">
        <v>4</v>
      </c>
      <c r="B14">
        <v>34.21</v>
      </c>
      <c r="C14">
        <v>175.42</v>
      </c>
      <c r="K14" t="str">
        <f t="shared" si="4"/>
        <v>000010</v>
      </c>
      <c r="L14">
        <f t="shared" si="5"/>
        <v>41.47</v>
      </c>
      <c r="M14">
        <f t="shared" si="6"/>
        <v>179.18</v>
      </c>
    </row>
    <row r="15" spans="1:14" x14ac:dyDescent="0.25">
      <c r="A15" t="s">
        <v>5</v>
      </c>
      <c r="B15">
        <v>38.54</v>
      </c>
      <c r="C15">
        <v>176.23</v>
      </c>
      <c r="K15" t="str">
        <f t="shared" si="4"/>
        <v>000015</v>
      </c>
      <c r="L15">
        <f t="shared" si="5"/>
        <v>34.21</v>
      </c>
      <c r="M15">
        <f t="shared" si="6"/>
        <v>175.42</v>
      </c>
    </row>
    <row r="16" spans="1:14" x14ac:dyDescent="0.25">
      <c r="K16" t="str">
        <f t="shared" si="4"/>
        <v>000020</v>
      </c>
      <c r="L16">
        <f t="shared" si="5"/>
        <v>38.54</v>
      </c>
      <c r="M16">
        <f t="shared" si="6"/>
        <v>176.23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Krešimir Hartl</dc:creator>
  <cp:lastModifiedBy>Krešimir Hartl</cp:lastModifiedBy>
  <dcterms:created xsi:type="dcterms:W3CDTF">2026-01-09T18:53:14Z</dcterms:created>
  <dcterms:modified xsi:type="dcterms:W3CDTF">2026-01-09T19:26:04Z</dcterms:modified>
</cp:coreProperties>
</file>