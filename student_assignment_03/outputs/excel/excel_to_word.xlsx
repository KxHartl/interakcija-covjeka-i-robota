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uenas-kresimir-share-cp\FSB\semestar_09\interakcija-covjeka-i-robota\interakcija-covjeka-i-robota\student_assignment_03\outputs\excel\"/>
    </mc:Choice>
  </mc:AlternateContent>
  <xr:revisionPtr revIDLastSave="0" documentId="13_ncr:1_{7DE34A7F-56A7-4DE4-B30E-8D1E0470A5AE}" xr6:coauthVersionLast="47" xr6:coauthVersionMax="47" xr10:uidLastSave="{00000000-0000-0000-0000-000000000000}"/>
  <bookViews>
    <workbookView xWindow="-120" yWindow="-120" windowWidth="29040" windowHeight="15720" xr2:uid="{7C6AB4B3-0BDA-4F60-8756-2F5BEB28C5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4" i="1" l="1"/>
  <c r="N44" i="1"/>
  <c r="O44" i="1"/>
  <c r="P44" i="1"/>
  <c r="Q44" i="1"/>
  <c r="R44" i="1"/>
  <c r="S44" i="1"/>
  <c r="M45" i="1"/>
  <c r="N45" i="1"/>
  <c r="O45" i="1"/>
  <c r="P45" i="1"/>
  <c r="Q45" i="1"/>
  <c r="R45" i="1"/>
  <c r="S45" i="1"/>
  <c r="N43" i="1"/>
  <c r="O43" i="1"/>
  <c r="P43" i="1"/>
  <c r="Q43" i="1"/>
  <c r="R43" i="1"/>
  <c r="S43" i="1"/>
  <c r="M43" i="1"/>
  <c r="O37" i="1"/>
  <c r="O38" i="1"/>
  <c r="O36" i="1"/>
  <c r="K37" i="1"/>
  <c r="L37" i="1"/>
  <c r="M37" i="1"/>
  <c r="N37" i="1"/>
  <c r="K38" i="1"/>
  <c r="L38" i="1"/>
  <c r="M38" i="1"/>
  <c r="N38" i="1"/>
  <c r="L36" i="1"/>
  <c r="M36" i="1"/>
  <c r="N36" i="1"/>
  <c r="K36" i="1"/>
  <c r="M30" i="1"/>
  <c r="N30" i="1"/>
  <c r="M31" i="1"/>
  <c r="N31" i="1"/>
  <c r="N29" i="1"/>
  <c r="K30" i="1"/>
  <c r="L30" i="1"/>
  <c r="K31" i="1"/>
  <c r="L31" i="1"/>
  <c r="L29" i="1"/>
  <c r="M29" i="1"/>
  <c r="K29" i="1"/>
  <c r="K19" i="1"/>
  <c r="L23" i="1"/>
  <c r="K23" i="1"/>
  <c r="L22" i="1"/>
  <c r="K22" i="1"/>
  <c r="L21" i="1"/>
  <c r="K21" i="1"/>
  <c r="L20" i="1"/>
  <c r="K20" i="1"/>
  <c r="L19" i="1"/>
  <c r="L13" i="1"/>
  <c r="M13" i="1"/>
  <c r="L14" i="1"/>
  <c r="M14" i="1"/>
  <c r="L15" i="1"/>
  <c r="M15" i="1"/>
  <c r="L16" i="1"/>
  <c r="M16" i="1"/>
  <c r="M12" i="1"/>
  <c r="L12" i="1"/>
  <c r="K13" i="1"/>
  <c r="K14" i="1"/>
  <c r="K15" i="1"/>
  <c r="K16" i="1"/>
  <c r="K12" i="1"/>
  <c r="N5" i="1"/>
  <c r="N6" i="1"/>
  <c r="N7" i="1"/>
  <c r="N8" i="1"/>
  <c r="N4" i="1"/>
  <c r="M5" i="1"/>
  <c r="M6" i="1"/>
  <c r="M7" i="1"/>
  <c r="M8" i="1"/>
  <c r="M4" i="1"/>
  <c r="L5" i="1"/>
  <c r="L6" i="1"/>
  <c r="L7" i="1"/>
  <c r="L8" i="1"/>
  <c r="L4" i="1"/>
  <c r="K5" i="1"/>
  <c r="K6" i="1"/>
  <c r="K7" i="1"/>
  <c r="K8" i="1"/>
  <c r="K4" i="1"/>
</calcChain>
</file>

<file path=xl/sharedStrings.xml><?xml version="1.0" encoding="utf-8"?>
<sst xmlns="http://schemas.openxmlformats.org/spreadsheetml/2006/main" count="82" uniqueCount="58">
  <si>
    <t>ID Slike</t>
  </si>
  <si>
    <t>000001.jpg</t>
  </si>
  <si>
    <t>000005.jpg</t>
  </si>
  <si>
    <t>000010.jpg</t>
  </si>
  <si>
    <t>000015.jpg</t>
  </si>
  <si>
    <t>000020.jpg</t>
  </si>
  <si>
    <t>Greška (px)</t>
  </si>
  <si>
    <t>body_pose_estimation_01</t>
  </si>
  <si>
    <t>GT X (px)</t>
  </si>
  <si>
    <t>GT Y  (px)</t>
  </si>
  <si>
    <t>MP X (px)</t>
  </si>
  <si>
    <t>MP Y (px)</t>
  </si>
  <si>
    <t>ΔX (px)</t>
  </si>
  <si>
    <r>
      <rPr>
        <sz val="11"/>
        <color theme="1"/>
        <rFont val="Aptos Narrow"/>
        <family val="2"/>
      </rPr>
      <t>Δ</t>
    </r>
    <r>
      <rPr>
        <sz val="11"/>
        <color theme="1"/>
        <rFont val="Aptos Narrow"/>
        <family val="2"/>
        <scheme val="minor"/>
      </rPr>
      <t>Y (px)</t>
    </r>
  </si>
  <si>
    <t>Ground truth (x, y)</t>
  </si>
  <si>
    <t>MediaPipe (x, y)</t>
  </si>
  <si>
    <t>Razlika</t>
  </si>
  <si>
    <t>body_pose_estimation_02</t>
  </si>
  <si>
    <r>
      <t>Lakat (</t>
    </r>
    <r>
      <rPr>
        <sz val="11"/>
        <color theme="1"/>
        <rFont val="Aptos Narrow"/>
        <family val="2"/>
      </rPr>
      <t>°</t>
    </r>
    <r>
      <rPr>
        <sz val="11"/>
        <color theme="1"/>
        <rFont val="Aptos Narrow"/>
        <family val="2"/>
        <scheme val="minor"/>
      </rPr>
      <t>)</t>
    </r>
  </si>
  <si>
    <t>Koljeno (°)</t>
  </si>
  <si>
    <r>
      <t>Nagib (</t>
    </r>
    <r>
      <rPr>
        <sz val="11"/>
        <color theme="1"/>
        <rFont val="Aptos Narrow"/>
        <family val="2"/>
      </rPr>
      <t>°</t>
    </r>
    <r>
      <rPr>
        <sz val="11"/>
        <color theme="1"/>
        <rFont val="Aptos Narrow"/>
        <family val="2"/>
        <scheme val="minor"/>
      </rPr>
      <t>)</t>
    </r>
  </si>
  <si>
    <t>head_pose_estimation_01</t>
  </si>
  <si>
    <t>Frame</t>
  </si>
  <si>
    <t>Opis</t>
  </si>
  <si>
    <t>Osoba gleda ravno, u desno, s nagibom u desno</t>
  </si>
  <si>
    <t>Osoba gleda ravno, u lijevo, bez nagiba</t>
  </si>
  <si>
    <t>Pitch (°)</t>
  </si>
  <si>
    <t>Yaw (°)</t>
  </si>
  <si>
    <t>Roll (°)</t>
  </si>
  <si>
    <t xml:space="preserve">Osoba gleda ravno, blago u desno, bez nagiba, </t>
  </si>
  <si>
    <t>Pitch (Â°)</t>
  </si>
  <si>
    <t>Yaw (Â°)</t>
  </si>
  <si>
    <t>Roll (Â°)</t>
  </si>
  <si>
    <t>Pitch Klasifikacija</t>
  </si>
  <si>
    <t>Yaw Klasifikacija</t>
  </si>
  <si>
    <t>Roll Klasifikacija</t>
  </si>
  <si>
    <t>Gleda gore</t>
  </si>
  <si>
    <t>Gleda naprijed</t>
  </si>
  <si>
    <t>Nema nagiba glave</t>
  </si>
  <si>
    <t>Gleda ulijevo</t>
  </si>
  <si>
    <t>Gleda udesno</t>
  </si>
  <si>
    <t>Nagib glave desno</t>
  </si>
  <si>
    <t>Klasifikacija pogleda (sva tri kuta)</t>
  </si>
  <si>
    <t>Pitch MediaPipe (Â°)</t>
  </si>
  <si>
    <t>Pitch BIWI (Â°)</t>
  </si>
  <si>
    <t>Pitch Razlika (Â°)</t>
  </si>
  <si>
    <t>Yaw MediaPipe (Â°)</t>
  </si>
  <si>
    <t>Yaw BIWI (Â°)</t>
  </si>
  <si>
    <t>Yaw Razlika (Â°)</t>
  </si>
  <si>
    <t>Roll MediaPipe (Â°)</t>
  </si>
  <si>
    <t>Roll BIWI (Â°)</t>
  </si>
  <si>
    <t>Roll Razlika (Â°)</t>
  </si>
  <si>
    <t>MP Pitch (°)</t>
  </si>
  <si>
    <t>BIWI Pitch (°)</t>
  </si>
  <si>
    <t>MP Yaw (°)</t>
  </si>
  <si>
    <t>BIWI Yaw (°)</t>
  </si>
  <si>
    <t>MP Roll (°)</t>
  </si>
  <si>
    <t>BIWI Roll (°)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</si>
</sst>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CCCCCC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9F1B7-95EF-4908-A524-EC826786FE6E}">
  <dimension ref="A1:S45"/>
  <sheetViews>
    <sheetView tabSelected="1" topLeftCell="A25" workbookViewId="0">
      <selection activeCell="N50" sqref="N50"/>
    </sheetView>
  </sheetViews>
  <sheetFormatPr defaultRowHeight="15" x14ac:dyDescent="0.25"/>
  <cols>
    <col min="1" max="1" width="10.28515625" bestFit="1" customWidth="1"/>
    <col min="2" max="2" width="8.7109375" bestFit="1" customWidth="1"/>
    <col min="3" max="3" width="9" bestFit="1" customWidth="1"/>
    <col min="4" max="4" width="9.140625" bestFit="1" customWidth="1"/>
    <col min="5" max="5" width="9" bestFit="1" customWidth="1"/>
    <col min="6" max="6" width="7.140625" bestFit="1" customWidth="1"/>
    <col min="7" max="7" width="7" bestFit="1" customWidth="1"/>
    <col min="8" max="8" width="11.85546875" bestFit="1" customWidth="1"/>
    <col min="11" max="11" width="10.28515625" bestFit="1" customWidth="1"/>
    <col min="12" max="12" width="16.85546875" bestFit="1" customWidth="1"/>
    <col min="13" max="13" width="15" bestFit="1" customWidth="1"/>
    <col min="14" max="14" width="12.42578125" bestFit="1" customWidth="1"/>
    <col min="15" max="15" width="44.42578125" bestFit="1" customWidth="1"/>
  </cols>
  <sheetData>
    <row r="1" spans="1:14" x14ac:dyDescent="0.25">
      <c r="A1" t="s">
        <v>7</v>
      </c>
    </row>
    <row r="3" spans="1:14" x14ac:dyDescent="0.25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6</v>
      </c>
      <c r="K3" t="s">
        <v>0</v>
      </c>
      <c r="L3" t="s">
        <v>14</v>
      </c>
      <c r="M3" t="s">
        <v>15</v>
      </c>
      <c r="N3" t="s">
        <v>16</v>
      </c>
    </row>
    <row r="4" spans="1:14" x14ac:dyDescent="0.25">
      <c r="A4" t="s">
        <v>1</v>
      </c>
      <c r="B4">
        <v>217</v>
      </c>
      <c r="C4">
        <v>75</v>
      </c>
      <c r="D4">
        <v>216</v>
      </c>
      <c r="E4">
        <v>76</v>
      </c>
      <c r="F4">
        <v>-1</v>
      </c>
      <c r="G4">
        <v>1</v>
      </c>
      <c r="H4">
        <v>1.41</v>
      </c>
      <c r="K4" t="str">
        <f>LEFT(A4, LEN(A4)-4)</f>
        <v>000001</v>
      </c>
      <c r="L4" t="str">
        <f>B4&amp;", "&amp;C4</f>
        <v>217, 75</v>
      </c>
      <c r="M4" t="str">
        <f>D4&amp;", "&amp;E4</f>
        <v>216, 76</v>
      </c>
      <c r="N4">
        <f>H4</f>
        <v>1.41</v>
      </c>
    </row>
    <row r="5" spans="1:14" x14ac:dyDescent="0.25">
      <c r="A5" t="s">
        <v>2</v>
      </c>
      <c r="B5">
        <v>216</v>
      </c>
      <c r="C5">
        <v>63</v>
      </c>
      <c r="D5">
        <v>217</v>
      </c>
      <c r="E5">
        <v>64</v>
      </c>
      <c r="F5">
        <v>1</v>
      </c>
      <c r="G5">
        <v>1</v>
      </c>
      <c r="H5">
        <v>5</v>
      </c>
      <c r="K5" t="str">
        <f t="shared" ref="K5:K8" si="0">LEFT(A5, LEN(A5)-4)</f>
        <v>000005</v>
      </c>
      <c r="L5" t="str">
        <f t="shared" ref="L5:L8" si="1">B5&amp;", "&amp;C5</f>
        <v>216, 63</v>
      </c>
      <c r="M5" t="str">
        <f t="shared" ref="M5:M8" si="2">D5&amp;", "&amp;E5</f>
        <v>217, 64</v>
      </c>
      <c r="N5">
        <f t="shared" ref="N5:N8" si="3">H5</f>
        <v>5</v>
      </c>
    </row>
    <row r="6" spans="1:14" x14ac:dyDescent="0.25">
      <c r="A6" t="s">
        <v>3</v>
      </c>
      <c r="B6">
        <v>214</v>
      </c>
      <c r="C6">
        <v>54</v>
      </c>
      <c r="D6">
        <v>219</v>
      </c>
      <c r="E6">
        <v>48</v>
      </c>
      <c r="F6">
        <v>5</v>
      </c>
      <c r="G6">
        <v>-6</v>
      </c>
      <c r="H6">
        <v>7.81</v>
      </c>
      <c r="K6" t="str">
        <f t="shared" si="0"/>
        <v>000010</v>
      </c>
      <c r="L6" t="str">
        <f t="shared" si="1"/>
        <v>214, 54</v>
      </c>
      <c r="M6" t="str">
        <f t="shared" si="2"/>
        <v>219, 48</v>
      </c>
      <c r="N6">
        <f t="shared" si="3"/>
        <v>7.81</v>
      </c>
    </row>
    <row r="7" spans="1:14" x14ac:dyDescent="0.25">
      <c r="A7" t="s">
        <v>4</v>
      </c>
      <c r="B7">
        <v>214</v>
      </c>
      <c r="C7">
        <v>63</v>
      </c>
      <c r="D7">
        <v>214</v>
      </c>
      <c r="E7">
        <v>76</v>
      </c>
      <c r="F7">
        <v>0</v>
      </c>
      <c r="G7">
        <v>13</v>
      </c>
      <c r="H7">
        <v>13</v>
      </c>
      <c r="K7" t="str">
        <f t="shared" si="0"/>
        <v>000015</v>
      </c>
      <c r="L7" t="str">
        <f t="shared" si="1"/>
        <v>214, 63</v>
      </c>
      <c r="M7" t="str">
        <f t="shared" si="2"/>
        <v>214, 76</v>
      </c>
      <c r="N7">
        <f t="shared" si="3"/>
        <v>13</v>
      </c>
    </row>
    <row r="8" spans="1:14" x14ac:dyDescent="0.25">
      <c r="A8" t="s">
        <v>5</v>
      </c>
      <c r="B8">
        <v>216</v>
      </c>
      <c r="C8">
        <v>79</v>
      </c>
      <c r="D8">
        <v>215</v>
      </c>
      <c r="E8">
        <v>72</v>
      </c>
      <c r="F8">
        <v>-1</v>
      </c>
      <c r="G8">
        <v>-7</v>
      </c>
      <c r="H8">
        <v>7.07</v>
      </c>
      <c r="K8" t="str">
        <f t="shared" si="0"/>
        <v>000020</v>
      </c>
      <c r="L8" t="str">
        <f t="shared" si="1"/>
        <v>216, 79</v>
      </c>
      <c r="M8" t="str">
        <f t="shared" si="2"/>
        <v>215, 72</v>
      </c>
      <c r="N8">
        <f t="shared" si="3"/>
        <v>7.07</v>
      </c>
    </row>
    <row r="10" spans="1:14" x14ac:dyDescent="0.25">
      <c r="A10" t="s">
        <v>17</v>
      </c>
    </row>
    <row r="11" spans="1:14" x14ac:dyDescent="0.25">
      <c r="A11" t="s">
        <v>1</v>
      </c>
      <c r="B11">
        <v>145.74</v>
      </c>
      <c r="C11">
        <v>171.14</v>
      </c>
      <c r="K11" t="s">
        <v>0</v>
      </c>
      <c r="L11" t="s">
        <v>18</v>
      </c>
      <c r="M11" t="s">
        <v>19</v>
      </c>
    </row>
    <row r="12" spans="1:14" x14ac:dyDescent="0.25">
      <c r="A12" t="s">
        <v>2</v>
      </c>
      <c r="B12">
        <v>113.63</v>
      </c>
      <c r="C12">
        <v>172.75</v>
      </c>
      <c r="K12" t="str">
        <f>LEFT(A11, LEN(A11)-4)</f>
        <v>000001</v>
      </c>
      <c r="L12">
        <f>B11</f>
        <v>145.74</v>
      </c>
      <c r="M12">
        <f>C11</f>
        <v>171.14</v>
      </c>
    </row>
    <row r="13" spans="1:14" x14ac:dyDescent="0.25">
      <c r="A13" t="s">
        <v>3</v>
      </c>
      <c r="B13">
        <v>90.3</v>
      </c>
      <c r="C13">
        <v>179.18</v>
      </c>
      <c r="K13" t="str">
        <f t="shared" ref="K13:K16" si="4">LEFT(A12, LEN(A12)-4)</f>
        <v>000005</v>
      </c>
      <c r="L13">
        <f t="shared" ref="L13:L16" si="5">B12</f>
        <v>113.63</v>
      </c>
      <c r="M13">
        <f t="shared" ref="M13:M16" si="6">C12</f>
        <v>172.75</v>
      </c>
    </row>
    <row r="14" spans="1:14" x14ac:dyDescent="0.25">
      <c r="A14" t="s">
        <v>4</v>
      </c>
      <c r="B14">
        <v>103.93</v>
      </c>
      <c r="C14">
        <v>175.42</v>
      </c>
      <c r="K14" t="str">
        <f t="shared" si="4"/>
        <v>000010</v>
      </c>
      <c r="L14">
        <f t="shared" si="5"/>
        <v>90.3</v>
      </c>
      <c r="M14">
        <f t="shared" si="6"/>
        <v>179.18</v>
      </c>
    </row>
    <row r="15" spans="1:14" x14ac:dyDescent="0.25">
      <c r="A15" t="s">
        <v>5</v>
      </c>
      <c r="B15">
        <v>113.33</v>
      </c>
      <c r="C15">
        <v>176.23</v>
      </c>
      <c r="K15" t="str">
        <f t="shared" si="4"/>
        <v>000015</v>
      </c>
      <c r="L15">
        <f t="shared" si="5"/>
        <v>103.93</v>
      </c>
      <c r="M15">
        <f t="shared" si="6"/>
        <v>175.42</v>
      </c>
    </row>
    <row r="16" spans="1:14" x14ac:dyDescent="0.25">
      <c r="K16" t="str">
        <f t="shared" si="4"/>
        <v>000020</v>
      </c>
      <c r="L16">
        <f t="shared" si="5"/>
        <v>113.33</v>
      </c>
      <c r="M16">
        <f t="shared" si="6"/>
        <v>176.23</v>
      </c>
    </row>
    <row r="17" spans="1:16" x14ac:dyDescent="0.25">
      <c r="A17" t="s">
        <v>17</v>
      </c>
    </row>
    <row r="18" spans="1:16" x14ac:dyDescent="0.25">
      <c r="A18" t="s">
        <v>1</v>
      </c>
      <c r="B18">
        <v>-1.81</v>
      </c>
      <c r="K18" t="s">
        <v>0</v>
      </c>
      <c r="L18" t="s">
        <v>20</v>
      </c>
    </row>
    <row r="19" spans="1:16" x14ac:dyDescent="0.25">
      <c r="A19" t="s">
        <v>2</v>
      </c>
      <c r="B19">
        <v>-1.1399999999999999</v>
      </c>
      <c r="K19" t="str">
        <f>LEFT(A18, LEN(A18)-4)</f>
        <v>000001</v>
      </c>
      <c r="L19">
        <f>B18</f>
        <v>-1.81</v>
      </c>
    </row>
    <row r="20" spans="1:16" x14ac:dyDescent="0.25">
      <c r="A20" t="s">
        <v>3</v>
      </c>
      <c r="B20">
        <v>-3.53</v>
      </c>
      <c r="K20" t="str">
        <f t="shared" ref="K20:K23" si="7">LEFT(A19, LEN(A19)-4)</f>
        <v>000005</v>
      </c>
      <c r="L20">
        <f t="shared" ref="L20:L23" si="8">B19</f>
        <v>-1.1399999999999999</v>
      </c>
    </row>
    <row r="21" spans="1:16" x14ac:dyDescent="0.25">
      <c r="A21" t="s">
        <v>4</v>
      </c>
      <c r="B21">
        <v>-1.61</v>
      </c>
      <c r="K21" t="str">
        <f t="shared" si="7"/>
        <v>000010</v>
      </c>
      <c r="L21">
        <f t="shared" si="8"/>
        <v>-3.53</v>
      </c>
    </row>
    <row r="22" spans="1:16" x14ac:dyDescent="0.25">
      <c r="A22" t="s">
        <v>5</v>
      </c>
      <c r="B22">
        <v>-1.31</v>
      </c>
      <c r="K22" t="str">
        <f t="shared" si="7"/>
        <v>000015</v>
      </c>
      <c r="L22">
        <f t="shared" si="8"/>
        <v>-1.61</v>
      </c>
    </row>
    <row r="23" spans="1:16" x14ac:dyDescent="0.25">
      <c r="K23" t="str">
        <f t="shared" si="7"/>
        <v>000020</v>
      </c>
      <c r="L23">
        <f t="shared" si="8"/>
        <v>-1.31</v>
      </c>
    </row>
    <row r="28" spans="1:16" x14ac:dyDescent="0.25">
      <c r="A28" t="s">
        <v>21</v>
      </c>
      <c r="K28" t="s">
        <v>22</v>
      </c>
      <c r="L28" t="s">
        <v>26</v>
      </c>
      <c r="M28" t="s">
        <v>27</v>
      </c>
      <c r="N28" t="s">
        <v>28</v>
      </c>
      <c r="O28" t="s">
        <v>23</v>
      </c>
    </row>
    <row r="29" spans="1:16" x14ac:dyDescent="0.25">
      <c r="A29">
        <v>50</v>
      </c>
      <c r="B29">
        <v>-20.58</v>
      </c>
      <c r="C29">
        <v>9.65</v>
      </c>
      <c r="D29">
        <v>-3.69</v>
      </c>
      <c r="K29">
        <f>A29</f>
        <v>50</v>
      </c>
      <c r="L29">
        <f t="shared" ref="L29:N29" si="9">B29</f>
        <v>-20.58</v>
      </c>
      <c r="M29">
        <f t="shared" si="9"/>
        <v>9.65</v>
      </c>
      <c r="N29">
        <f t="shared" si="9"/>
        <v>-3.69</v>
      </c>
      <c r="O29" t="s">
        <v>29</v>
      </c>
    </row>
    <row r="30" spans="1:16" x14ac:dyDescent="0.25">
      <c r="A30">
        <v>350</v>
      </c>
      <c r="B30">
        <v>-25.83</v>
      </c>
      <c r="C30">
        <v>-24.87</v>
      </c>
      <c r="D30">
        <v>6.43</v>
      </c>
      <c r="K30">
        <f t="shared" ref="K30:K31" si="10">A30</f>
        <v>350</v>
      </c>
      <c r="L30">
        <f t="shared" ref="L30:L31" si="11">B30</f>
        <v>-25.83</v>
      </c>
      <c r="M30">
        <f t="shared" ref="M30:M31" si="12">C30</f>
        <v>-24.87</v>
      </c>
      <c r="N30">
        <f t="shared" ref="N30:N31" si="13">D30</f>
        <v>6.43</v>
      </c>
      <c r="O30" t="s">
        <v>25</v>
      </c>
      <c r="P30" s="1"/>
    </row>
    <row r="31" spans="1:16" x14ac:dyDescent="0.25">
      <c r="A31">
        <v>508</v>
      </c>
      <c r="B31">
        <v>-19.440000000000001</v>
      </c>
      <c r="C31">
        <v>12.91</v>
      </c>
      <c r="D31">
        <v>-13.62</v>
      </c>
      <c r="K31">
        <f t="shared" si="10"/>
        <v>508</v>
      </c>
      <c r="L31">
        <f t="shared" si="11"/>
        <v>-19.440000000000001</v>
      </c>
      <c r="M31">
        <f t="shared" si="12"/>
        <v>12.91</v>
      </c>
      <c r="N31">
        <f t="shared" si="13"/>
        <v>-13.62</v>
      </c>
      <c r="O31" t="s">
        <v>24</v>
      </c>
      <c r="P31" s="1"/>
    </row>
    <row r="32" spans="1:16" x14ac:dyDescent="0.25">
      <c r="P32" s="1"/>
    </row>
    <row r="33" spans="1:19" x14ac:dyDescent="0.25">
      <c r="P33" s="1"/>
    </row>
    <row r="34" spans="1:19" x14ac:dyDescent="0.25">
      <c r="P34" s="1"/>
    </row>
    <row r="35" spans="1:19" x14ac:dyDescent="0.25">
      <c r="A35" t="s">
        <v>22</v>
      </c>
      <c r="B35" t="s">
        <v>30</v>
      </c>
      <c r="C35" t="s">
        <v>31</v>
      </c>
      <c r="D35" t="s">
        <v>32</v>
      </c>
      <c r="E35" t="s">
        <v>33</v>
      </c>
      <c r="F35" t="s">
        <v>34</v>
      </c>
      <c r="G35" t="s">
        <v>35</v>
      </c>
      <c r="K35" t="s">
        <v>22</v>
      </c>
      <c r="L35" t="s">
        <v>26</v>
      </c>
      <c r="M35" t="s">
        <v>27</v>
      </c>
      <c r="N35" t="s">
        <v>28</v>
      </c>
      <c r="O35" t="s">
        <v>42</v>
      </c>
    </row>
    <row r="36" spans="1:19" x14ac:dyDescent="0.25">
      <c r="A36">
        <v>50</v>
      </c>
      <c r="B36">
        <v>-20.58</v>
      </c>
      <c r="C36">
        <v>9.65</v>
      </c>
      <c r="D36">
        <v>-3.69</v>
      </c>
      <c r="E36" t="s">
        <v>36</v>
      </c>
      <c r="F36" t="s">
        <v>37</v>
      </c>
      <c r="G36" t="s">
        <v>38</v>
      </c>
      <c r="K36">
        <f>A36</f>
        <v>50</v>
      </c>
      <c r="L36">
        <f t="shared" ref="L36:N36" si="14">B36</f>
        <v>-20.58</v>
      </c>
      <c r="M36">
        <f t="shared" si="14"/>
        <v>9.65</v>
      </c>
      <c r="N36">
        <f t="shared" si="14"/>
        <v>-3.69</v>
      </c>
      <c r="O36" t="str">
        <f>E36&amp;", "&amp;G36&amp;", "&amp;F36</f>
        <v>Gleda gore, Nema nagiba glave, Gleda naprijed</v>
      </c>
    </row>
    <row r="37" spans="1:19" x14ac:dyDescent="0.25">
      <c r="A37">
        <v>350</v>
      </c>
      <c r="B37">
        <v>-25.83</v>
      </c>
      <c r="C37">
        <v>-24.87</v>
      </c>
      <c r="D37">
        <v>6.43</v>
      </c>
      <c r="E37" t="s">
        <v>36</v>
      </c>
      <c r="F37" t="s">
        <v>39</v>
      </c>
      <c r="G37" t="s">
        <v>38</v>
      </c>
      <c r="K37">
        <f t="shared" ref="K37:K38" si="15">A37</f>
        <v>350</v>
      </c>
      <c r="L37">
        <f t="shared" ref="L37:L38" si="16">B37</f>
        <v>-25.83</v>
      </c>
      <c r="M37">
        <f t="shared" ref="M37:M38" si="17">C37</f>
        <v>-24.87</v>
      </c>
      <c r="N37">
        <f t="shared" ref="N37:N38" si="18">D37</f>
        <v>6.43</v>
      </c>
      <c r="O37" t="str">
        <f t="shared" ref="O37:O38" si="19">E37&amp;", "&amp;G37&amp;", "&amp;F37</f>
        <v>Gleda gore, Nema nagiba glave, Gleda ulijevo</v>
      </c>
    </row>
    <row r="38" spans="1:19" x14ac:dyDescent="0.25">
      <c r="A38">
        <v>508</v>
      </c>
      <c r="B38">
        <v>-19.440000000000001</v>
      </c>
      <c r="C38">
        <v>12.91</v>
      </c>
      <c r="D38">
        <v>-13.62</v>
      </c>
      <c r="E38" t="s">
        <v>36</v>
      </c>
      <c r="F38" t="s">
        <v>40</v>
      </c>
      <c r="G38" t="s">
        <v>41</v>
      </c>
      <c r="K38">
        <f t="shared" si="15"/>
        <v>508</v>
      </c>
      <c r="L38">
        <f t="shared" si="16"/>
        <v>-19.440000000000001</v>
      </c>
      <c r="M38">
        <f t="shared" si="17"/>
        <v>12.91</v>
      </c>
      <c r="N38">
        <f t="shared" si="18"/>
        <v>-13.62</v>
      </c>
      <c r="O38" t="str">
        <f t="shared" si="19"/>
        <v>Gleda gore, Nagib glave desno, Gleda udesno</v>
      </c>
    </row>
    <row r="42" spans="1:19" x14ac:dyDescent="0.25">
      <c r="A42" t="s">
        <v>22</v>
      </c>
      <c r="B42" t="s">
        <v>43</v>
      </c>
      <c r="C42" t="s">
        <v>44</v>
      </c>
      <c r="D42" t="s">
        <v>45</v>
      </c>
      <c r="E42" t="s">
        <v>46</v>
      </c>
      <c r="F42" t="s">
        <v>47</v>
      </c>
      <c r="G42" t="s">
        <v>48</v>
      </c>
      <c r="H42" t="s">
        <v>49</v>
      </c>
      <c r="I42" t="s">
        <v>50</v>
      </c>
      <c r="J42" t="s">
        <v>51</v>
      </c>
      <c r="M42" t="s">
        <v>22</v>
      </c>
      <c r="N42" t="s">
        <v>52</v>
      </c>
      <c r="O42" t="s">
        <v>53</v>
      </c>
      <c r="P42" t="s">
        <v>54</v>
      </c>
      <c r="Q42" t="s">
        <v>55</v>
      </c>
      <c r="R42" t="s">
        <v>56</v>
      </c>
      <c r="S42" t="s">
        <v>57</v>
      </c>
    </row>
    <row r="43" spans="1:19" x14ac:dyDescent="0.25">
      <c r="A43">
        <v>50</v>
      </c>
      <c r="B43">
        <v>-5.35</v>
      </c>
      <c r="C43">
        <v>-20.58</v>
      </c>
      <c r="D43">
        <v>15.23</v>
      </c>
      <c r="E43">
        <v>14.09</v>
      </c>
      <c r="F43">
        <v>9.65</v>
      </c>
      <c r="G43">
        <v>4.45</v>
      </c>
      <c r="H43">
        <v>-5.17</v>
      </c>
      <c r="I43">
        <v>-3.69</v>
      </c>
      <c r="J43">
        <v>1.48</v>
      </c>
      <c r="M43">
        <f>A43</f>
        <v>50</v>
      </c>
      <c r="N43">
        <f t="shared" ref="N43:S43" si="20">B43</f>
        <v>-5.35</v>
      </c>
      <c r="O43">
        <f t="shared" si="20"/>
        <v>-20.58</v>
      </c>
      <c r="P43">
        <f t="shared" si="20"/>
        <v>15.23</v>
      </c>
      <c r="Q43">
        <f t="shared" si="20"/>
        <v>14.09</v>
      </c>
      <c r="R43">
        <f t="shared" si="20"/>
        <v>9.65</v>
      </c>
      <c r="S43">
        <f t="shared" si="20"/>
        <v>4.45</v>
      </c>
    </row>
    <row r="44" spans="1:19" x14ac:dyDescent="0.25">
      <c r="A44">
        <v>350</v>
      </c>
      <c r="B44">
        <v>-8.58</v>
      </c>
      <c r="C44">
        <v>-25.83</v>
      </c>
      <c r="D44">
        <v>17.25</v>
      </c>
      <c r="E44">
        <v>-52.19</v>
      </c>
      <c r="F44">
        <v>-24.87</v>
      </c>
      <c r="G44">
        <v>27.33</v>
      </c>
      <c r="H44">
        <v>-1.44</v>
      </c>
      <c r="I44">
        <v>6.43</v>
      </c>
      <c r="J44">
        <v>7.87</v>
      </c>
      <c r="M44">
        <f t="shared" ref="M44:M45" si="21">A44</f>
        <v>350</v>
      </c>
      <c r="N44">
        <f t="shared" ref="N44:N45" si="22">B44</f>
        <v>-8.58</v>
      </c>
      <c r="O44">
        <f t="shared" ref="O44:O45" si="23">C44</f>
        <v>-25.83</v>
      </c>
      <c r="P44">
        <f t="shared" ref="P44:P45" si="24">D44</f>
        <v>17.25</v>
      </c>
      <c r="Q44">
        <f t="shared" ref="Q44:Q45" si="25">E44</f>
        <v>-52.19</v>
      </c>
      <c r="R44">
        <f t="shared" ref="R44:R45" si="26">F44</f>
        <v>-24.87</v>
      </c>
      <c r="S44">
        <f t="shared" ref="S44:S45" si="27">G44</f>
        <v>27.33</v>
      </c>
    </row>
    <row r="45" spans="1:19" x14ac:dyDescent="0.25">
      <c r="A45">
        <v>508</v>
      </c>
      <c r="B45">
        <v>-2.66</v>
      </c>
      <c r="C45">
        <v>-19.440000000000001</v>
      </c>
      <c r="D45">
        <v>16.78</v>
      </c>
      <c r="E45">
        <v>18.87</v>
      </c>
      <c r="F45">
        <v>12.91</v>
      </c>
      <c r="G45">
        <v>5.96</v>
      </c>
      <c r="H45">
        <v>-10.75</v>
      </c>
      <c r="I45">
        <v>-13.62</v>
      </c>
      <c r="J45">
        <v>2.87</v>
      </c>
      <c r="M45">
        <f t="shared" si="21"/>
        <v>508</v>
      </c>
      <c r="N45">
        <f t="shared" si="22"/>
        <v>-2.66</v>
      </c>
      <c r="O45">
        <f t="shared" si="23"/>
        <v>-19.440000000000001</v>
      </c>
      <c r="P45">
        <f t="shared" si="24"/>
        <v>16.78</v>
      </c>
      <c r="Q45">
        <f t="shared" si="25"/>
        <v>18.87</v>
      </c>
      <c r="R45">
        <f t="shared" si="26"/>
        <v>12.91</v>
      </c>
      <c r="S45">
        <f t="shared" si="27"/>
        <v>5.96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Krešimir Hartl</dc:creator>
  <cp:lastModifiedBy>Krešimir Hartl</cp:lastModifiedBy>
  <dcterms:created xsi:type="dcterms:W3CDTF">2026-01-09T18:53:14Z</dcterms:created>
  <dcterms:modified xsi:type="dcterms:W3CDTF">2026-01-10T12:26:29Z</dcterms:modified>
</cp:coreProperties>
</file>